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ty Calculator" sheetId="1" state="visible" r:id="rId1"/>
    <sheet xmlns:r="http://schemas.openxmlformats.org/officeDocument/2006/relationships" name="HS Rates 2026" sheetId="2" state="visible" r:id="rId2"/>
    <sheet xmlns:r="http://schemas.openxmlformats.org/officeDocument/2006/relationships" name="Exporter Tips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053"/>
      <sz val="16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Duty Cost Breakdown (2026)</a:t>
            </a:r>
          </a:p>
        </rich>
      </tx>
    </title>
    <plotArea>
      <pieChart>
        <varyColors val="1"/>
        <ser>
          <idx val="0"/>
          <order val="0"/>
          <tx>
            <strRef>
              <f>'Duty Calculator'!B13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'Duty Calculator'!$A$13:$A$16</f>
            </numRef>
          </cat>
          <val>
            <numRef>
              <f>'Duty Calculator'!$B$14:$B$16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Customs Duty &amp; GST Calculator–2026</t>
        </is>
      </c>
    </row>
    <row r="2">
      <c r="A2" s="2" t="inlineStr">
        <is>
          <t>By Global Link Logistics | Beginner-Friendly Tool | Visit info@globallinklogistics-demo.com for Trade Guides</t>
        </is>
      </c>
    </row>
    <row r="4">
      <c r="A4" s="3" t="inlineStr">
        <is>
          <t>Easy Inputs (Beginner Mode)</t>
        </is>
      </c>
      <c r="B4" s="4" t="n"/>
      <c r="C4" s="4" t="n"/>
      <c r="D4" s="4" t="inlineStr">
        <is>
          <t>Lookup Results</t>
        </is>
      </c>
      <c r="E4" s="4" t="n"/>
    </row>
    <row r="5">
      <c r="A5" s="4" t="inlineStr">
        <is>
          <t>Assessable Value (CIF ₹)</t>
        </is>
      </c>
      <c r="B5" s="5" t="n">
        <v>100000</v>
      </c>
      <c r="C5" s="4" t="n"/>
      <c r="D5" s="4" t="inlineStr">
        <is>
          <t>BCD %</t>
        </is>
      </c>
      <c r="E5" s="4" t="inlineStr">
        <is>
          <t>Notes</t>
        </is>
      </c>
    </row>
    <row r="6">
      <c r="A6" s="4" t="inlineStr">
        <is>
          <t>HS Code (Dropdown)</t>
        </is>
      </c>
      <c r="B6" s="4" t="inlineStr">
        <is>
          <t>851712</t>
        </is>
      </c>
      <c r="C6" s="4" t="n"/>
      <c r="D6" s="4">
        <f>IFERROR(VLOOKUP(B6, 'HS Rates 2026'!A:F, 3, FALSE), "Enter HS")</f>
        <v/>
      </c>
      <c r="E6" s="4">
        <f>IFERROR(VLOOKUP(B6, 'HS Rates 2026'!A:F, 6, FALSE), "No Notes")</f>
        <v/>
      </c>
    </row>
    <row r="7">
      <c r="A7" s="4" t="n"/>
      <c r="B7" s="4" t="n"/>
      <c r="C7" s="4" t="n"/>
      <c r="D7" s="4" t="inlineStr">
        <is>
          <t>GST %</t>
        </is>
      </c>
      <c r="E7" s="4" t="n"/>
    </row>
    <row r="8">
      <c r="A8" s="4" t="n"/>
      <c r="B8" s="4" t="n"/>
      <c r="C8" s="4" t="n"/>
      <c r="D8" s="4">
        <f>IFERROR(VLOOKUP(B6, 'HS Rates 2026'!A:F, 4, FALSE), "Enter HS")</f>
        <v/>
      </c>
      <c r="E8" s="4" t="n"/>
    </row>
    <row r="9">
      <c r="A9" s="4" t="n"/>
      <c r="B9" s="4" t="n"/>
      <c r="C9" s="4" t="n"/>
      <c r="D9" s="4" t="inlineStr">
        <is>
          <t>Cess %</t>
        </is>
      </c>
      <c r="E9" s="4" t="n"/>
    </row>
    <row r="10">
      <c r="A10" s="4" t="n"/>
      <c r="B10" s="4" t="n"/>
      <c r="C10" s="4" t="n"/>
      <c r="D10" s="4">
        <f>IFERROR(VLOOKUP(B6, 'HS Rates 2026'!A:F, 5, FALSE), "Enter HS")</f>
        <v/>
      </c>
      <c r="E10" s="4" t="n"/>
    </row>
    <row r="11">
      <c r="A11" s="4" t="n"/>
      <c r="B11" s="4" t="n"/>
      <c r="C11" s="4" t="n"/>
      <c r="D11" s="4" t="n"/>
      <c r="E11" s="4" t="n"/>
    </row>
    <row r="12">
      <c r="A12" s="3" t="inlineStr">
        <is>
          <t>Auto-Calculations (2026 Rates)</t>
        </is>
      </c>
      <c r="B12" s="4" t="n"/>
      <c r="C12" s="4" t="n"/>
      <c r="D12" s="4" t="n"/>
      <c r="E12" s="4" t="n"/>
    </row>
    <row r="13">
      <c r="A13" s="4" t="inlineStr">
        <is>
          <t>Basic Customs Duty (BCD)</t>
        </is>
      </c>
      <c r="B13" s="5">
        <f>B5 * (D6/100)</f>
        <v/>
      </c>
      <c r="C13" s="4" t="n"/>
      <c r="D13" s="4" t="n"/>
      <c r="E13" s="4" t="n"/>
    </row>
    <row r="14">
      <c r="A14" s="4" t="inlineStr">
        <is>
          <t>Social Welfare Surcharge (SWS 10%)</t>
        </is>
      </c>
      <c r="B14" s="5">
        <f>B13 * 0.10</f>
        <v/>
      </c>
      <c r="C14" s="4" t="n"/>
      <c r="D14" s="4" t="n"/>
      <c r="E14" s="4" t="n"/>
    </row>
    <row r="15">
      <c r="A15" s="4" t="inlineStr">
        <is>
          <t>IGST (on AV + BCD + SWS)</t>
        </is>
      </c>
      <c r="B15" s="5">
        <f>(B5 + B13 + B14) * (D8/100)</f>
        <v/>
      </c>
      <c r="C15" s="4" t="n"/>
      <c r="D15" s="4" t="n"/>
      <c r="E15" s="4" t="n"/>
    </row>
    <row r="16">
      <c r="A16" s="4" t="inlineStr">
        <is>
          <t>GST Cess</t>
        </is>
      </c>
      <c r="B16" s="5">
        <f>(B5 + B13 + B14) * (D10/100)</f>
        <v/>
      </c>
      <c r="C16" s="4" t="n"/>
      <c r="D16" s="4" t="n"/>
      <c r="E16" s="4" t="n"/>
    </row>
    <row r="17">
      <c r="A17" s="4" t="inlineStr">
        <is>
          <t>Total Landed Cost</t>
        </is>
      </c>
      <c r="B17" s="5">
        <f>B5 + B13 + B14 + B15 + B16</f>
        <v/>
      </c>
      <c r="C17" s="4" t="n"/>
      <c r="D17" s="4" t="n"/>
      <c r="E17" s="4" t="n"/>
    </row>
    <row r="18">
      <c r="A18" s="4" t="inlineStr">
        <is>
          <t>Est. IGST Refund (Zero-Rated Export via LUT)</t>
        </is>
      </c>
      <c r="B18" s="5">
        <f>B15</f>
        <v/>
      </c>
      <c r="C18" s="4" t="n"/>
      <c r="D18" s="4" t="n"/>
      <c r="E18" s="4" t="n"/>
    </row>
    <row r="19">
      <c r="A19" s="4" t="inlineStr">
        <is>
          <t>Net Cost After Refund</t>
        </is>
      </c>
      <c r="B19" s="5">
        <f>B17 - B18</f>
        <v/>
      </c>
      <c r="C19" s="4" t="n"/>
      <c r="D19" s="4" t="n"/>
      <c r="E19" s="4" t="n"/>
    </row>
  </sheetData>
  <mergeCells count="2">
    <mergeCell ref="A2:F2"/>
    <mergeCell ref="A1:F1"/>
  </mergeCells>
  <conditionalFormatting sqref="B13">
    <cfRule type="cellIs" priority="1" operator="greaterThan" dxfId="0">
      <formula>0.2*B5</formula>
    </cfRule>
  </conditionalFormatting>
  <conditionalFormatting sqref="B17">
    <cfRule type="cellIs" priority="2" operator="greaterThan" dxfId="0">
      <formula>1.2*B5</formula>
    </cfRule>
  </conditionalFormatting>
  <dataValidations count="1">
    <dataValidation sqref="B6" showDropDown="0" showInputMessage="0" showErrorMessage="0" allowBlank="0" errorTitle="Invalid HS Code" type="list">
      <formula1>"851712,270900,870323,390110,100590,080310"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Description</t>
        </is>
      </c>
      <c r="C1" t="inlineStr">
        <is>
          <t>BCD (%)</t>
        </is>
      </c>
      <c r="D1" t="inlineStr">
        <is>
          <t>GST (%)</t>
        </is>
      </c>
      <c r="E1" t="inlineStr">
        <is>
          <t>Cess (%)</t>
        </is>
      </c>
      <c r="F1" t="inlineStr">
        <is>
          <t>Notes/Exemptions</t>
        </is>
      </c>
    </row>
    <row r="2">
      <c r="A2" t="inlineStr">
        <is>
          <t>HS Code</t>
        </is>
      </c>
      <c r="B2" t="inlineStr">
        <is>
          <t>Description</t>
        </is>
      </c>
      <c r="C2" t="inlineStr">
        <is>
          <t>BCD Rate (%)</t>
        </is>
      </c>
      <c r="D2" t="inlineStr">
        <is>
          <t>GST Rate (%)</t>
        </is>
      </c>
      <c r="E2" t="inlineStr">
        <is>
          <t>Cess Rate (%)</t>
        </is>
      </c>
      <c r="F2" t="inlineStr">
        <is>
          <t>CEPA/FTA exemptions: 0% for UAE/Singapore partners</t>
        </is>
      </c>
    </row>
    <row r="3">
      <c r="A3" t="inlineStr">
        <is>
          <t>851712</t>
        </is>
      </c>
      <c r="B3" t="inlineStr">
        <is>
          <t>Smartphones</t>
        </is>
      </c>
      <c r="C3" t="n">
        <v>7.5</v>
      </c>
      <c r="D3" t="n">
        <v>18</v>
      </c>
      <c r="E3" t="n">
        <v>0</v>
      </c>
      <c r="F3" t="inlineStr">
        <is>
          <t>Agri: 50% BCD but 100% refund on export</t>
        </is>
      </c>
    </row>
    <row r="4">
      <c r="A4" t="inlineStr">
        <is>
          <t>270900</t>
        </is>
      </c>
      <c r="B4" t="inlineStr">
        <is>
          <t>Crude Oil</t>
        </is>
      </c>
      <c r="C4" t="n">
        <v>0</v>
      </c>
      <c r="D4" t="n">
        <v>5</v>
      </c>
      <c r="E4" t="n">
        <v>0</v>
      </c>
      <c r="F4" t="inlineStr">
        <is>
          <t>0% under FTAs</t>
        </is>
      </c>
    </row>
    <row r="5">
      <c r="A5" t="inlineStr">
        <is>
          <t>870323</t>
        </is>
      </c>
      <c r="B5" t="inlineStr">
        <is>
          <t>Cars</t>
        </is>
      </c>
      <c r="C5" t="n">
        <v>100</v>
      </c>
      <c r="D5" t="n">
        <v>28</v>
      </c>
      <c r="E5" t="n">
        <v>15</v>
      </c>
      <c r="F5" t="inlineStr">
        <is>
          <t>Luxury cess</t>
        </is>
      </c>
    </row>
    <row r="6">
      <c r="A6" t="inlineStr">
        <is>
          <t>390110</t>
        </is>
      </c>
      <c r="B6" t="inlineStr">
        <is>
          <t>Polyethylene</t>
        </is>
      </c>
      <c r="C6" t="n">
        <v>7.5</v>
      </c>
      <c r="D6" t="n">
        <v>18</v>
      </c>
      <c r="E6" t="n">
        <v>0</v>
      </c>
      <c r="F6" t="inlineStr">
        <is>
          <t>Packaging essential</t>
        </is>
      </c>
    </row>
    <row r="7">
      <c r="A7" t="inlineStr">
        <is>
          <t>100590</t>
        </is>
      </c>
      <c r="B7" t="inlineStr">
        <is>
          <t>Maize</t>
        </is>
      </c>
      <c r="C7" t="n">
        <v>50</v>
      </c>
      <c r="D7" t="n">
        <v>5</v>
      </c>
      <c r="E7" t="n">
        <v>0</v>
      </c>
      <c r="F7" t="inlineStr">
        <is>
          <t>Agri subsidy</t>
        </is>
      </c>
    </row>
    <row r="8">
      <c r="A8" t="inlineStr">
        <is>
          <t>080310</t>
        </is>
      </c>
      <c r="B8" t="inlineStr">
        <is>
          <t>Bananas</t>
        </is>
      </c>
      <c r="C8" t="n">
        <v>50</v>
      </c>
      <c r="D8" t="n">
        <v>5</v>
      </c>
      <c r="E8" t="n">
        <v>0</v>
      </c>
      <c r="F8" t="inlineStr">
        <is>
          <t>Perishable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2026 Quick Tips (CBIC/RBI)</t>
        </is>
      </c>
    </row>
    <row r="2">
      <c r="A2" t="inlineStr">
        <is>
          <t>• LUT for zero-rated exports: Refund IGST in 2 weeks</t>
        </is>
      </c>
    </row>
    <row r="3">
      <c r="A3" t="inlineStr">
        <is>
          <t>• CEPA savings: 0% BCD on electronics to UAE</t>
        </is>
      </c>
    </row>
    <row r="4">
      <c r="A4" t="inlineStr">
        <is>
          <t>• High-risk HS: Pre-file for fast clearance</t>
        </is>
      </c>
    </row>
    <row r="5">
      <c r="A5" t="inlineStr">
        <is>
          <t>By Global Link Logistics | info@globallinklogistics-demo.com</t>
        </is>
      </c>
    </row>
    <row r="6">
      <c r="A6" t="inlineStr">
        <is>
          <t>Unique: Tiered SWS exemption for MSMEs (&lt;₹5Cr turnover)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2026-01-04T04:55:50Z</dcterms:created>
  <dcterms:modified xmlns:dcterms="http://purl.org/dc/terms/" xmlns:xsi="http://www.w3.org/2001/XMLSchema-instance" xsi:type="dcterms:W3CDTF">2026-01-04T04:55:50Z</dcterms:modified>
</cp:coreProperties>
</file>